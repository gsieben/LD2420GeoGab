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C:\Users\gsieb\Dropbox\DEV\ESP\Libtest\lib\LD2420\docs\"/>
    </mc:Choice>
  </mc:AlternateContent>
  <xr:revisionPtr revIDLastSave="0" documentId="13_ncr:1_{8F77108F-5D17-480D-8ED5-37939C04FD00}" xr6:coauthVersionLast="47" xr6:coauthVersionMax="47" xr10:uidLastSave="{00000000-0000-0000-0000-000000000000}"/>
  <bookViews>
    <workbookView xWindow="17145" yWindow="5070" windowWidth="45525" windowHeight="15345" xr2:uid="{00000000-000D-0000-FFFF-FFFF00000000}"/>
  </bookViews>
  <sheets>
    <sheet name="串口命令格式V2.2" sheetId="8" r:id="rId1"/>
    <sheet name="Top" sheetId="12" r:id="rId2"/>
    <sheet name="Sheet2" sheetId="10" r:id="rId3"/>
    <sheet name="Sheet1" sheetId="9" r:id="rId4"/>
    <sheet name="Sheet3" sheetId="1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9" l="1"/>
  <c r="K14" i="9"/>
  <c r="K13" i="9"/>
  <c r="K12" i="9"/>
  <c r="K11" i="9"/>
  <c r="K10" i="9"/>
  <c r="K9" i="9"/>
  <c r="K8" i="9"/>
  <c r="K7" i="9"/>
  <c r="K6" i="9"/>
  <c r="K5" i="9"/>
  <c r="K4" i="9"/>
  <c r="K3" i="9"/>
  <c r="K2" i="9"/>
  <c r="K1" i="9"/>
  <c r="G11" i="11"/>
  <c r="G10" i="11"/>
  <c r="G9" i="11"/>
  <c r="G8" i="11"/>
  <c r="G7" i="11"/>
  <c r="G6" i="11"/>
  <c r="G5" i="11"/>
  <c r="G4" i="11"/>
  <c r="G3" i="11"/>
  <c r="G2" i="11"/>
  <c r="G1" i="11"/>
</calcChain>
</file>

<file path=xl/sharedStrings.xml><?xml version="1.0" encoding="utf-8"?>
<sst xmlns="http://schemas.openxmlformats.org/spreadsheetml/2006/main" count="358" uniqueCount="144">
  <si>
    <t xml:space="preserve">Radar serial port data format description:
1. Frame: Each command data is called a frame; the frame consists of 4 parts: frame header, data length in the frame, data in the frame and tail of the frame;
2. Intra-frame data: The intra-frame data starts with a command, followed by the data content
Notice:
1. The maximum data length of a single serial port command does not exceed 64 bytes (the size is subject to the actual situation, and each platform may be different. When the upper computer sends the start command, the result returned by the lower computer includes the buffer size of the command communication) , so when reading and writing multiple registers, if it exceeds 64 bytes, it needs to be divided into multiple commands and issued.
2. Byte order: little endian
3. Because the serial port will output the radar waveform data by default, it is necessary to switch to the command mode before issuing the command. The usual method is divided into three steps:
    a) Send "open command mode" (because the chip may still output data, the data received by the serial port will contain waveform data, so the returned result will not be analyzed)
    b) Clear the serial port cache data (generally delay about 100ms, make sure the serial port data is cleared)
    c) Send "open command mode" again, and analyze the returned result
    After the end of the command mode, send "Close command mode" to start the waveform data transmission
4. The user-defined command ID interval is recommended to be placed in the interval 0x0060~0x00A0
</t>
  </si>
  <si>
    <t>Update content</t>
  </si>
  <si>
    <t>0x0030</t>
  </si>
  <si>
    <t>Added saturation detection function</t>
  </si>
  <si>
    <t>Frame format</t>
  </si>
  <si>
    <t>Frame header</t>
  </si>
  <si>
    <t>0xFAFBFCFD</t>
  </si>
  <si>
    <t>Intra-frame data length</t>
  </si>
  <si>
    <t>2 bytes</t>
  </si>
  <si>
    <t>Intra frame data</t>
  </si>
  <si>
    <t>Refer to the description of the data format in the frame</t>
  </si>
  <si>
    <t>For command return, the data format in the frame is: 2-byte return command + 2-byte return value + N-byte result data</t>
  </si>
  <si>
    <t>End of frame</t>
  </si>
  <si>
    <t>0x01020304</t>
  </si>
  <si>
    <t>Intra frame data format</t>
  </si>
  <si>
    <t>Command type</t>
  </si>
  <si>
    <t>Command value (2 bytes)</t>
  </si>
  <si>
    <t>Command data</t>
  </si>
  <si>
    <t>Return command</t>
  </si>
  <si>
    <t>Return value</t>
  </si>
  <si>
    <t>Return result data</t>
  </si>
  <si>
    <t>Directions</t>
  </si>
  <si>
    <t>Parameter details</t>
  </si>
  <si>
    <t>Is it necessary to support</t>
  </si>
  <si>
    <t>Read version</t>
  </si>
  <si>
    <t>0x0000</t>
  </si>
  <si>
    <t>NOT</t>
  </si>
  <si>
    <t>0x0100</t>
  </si>
  <si>
    <t>2 bytes
0: success
Other values are failed"</t>
  </si>
  <si>
    <t>2 bytes return result data length + version information</t>
  </si>
  <si>
    <t>The returned version is represented as a string. For example
Major version number: 1
Minor version number: 4
patch version number: 14
The version information indicates: v1.4.14</t>
  </si>
  <si>
    <t>Yes</t>
  </si>
  <si>
    <t>Write register</t>
  </si>
  <si>
    <t>0x0001</t>
  </si>
  <si>
    <t>2-byte chip address + (2-byte address + 2-byte data) * N</t>
  </si>
  <si>
    <t>0x0101</t>
  </si>
  <si>
    <t>When the host sends data, it first sends the 2-byte chip address, and then every group of 4 bytes, each group contains register address and data, each with two bytes</t>
  </si>
  <si>
    <t>Read register</t>
  </si>
  <si>
    <t>0x0002</t>
  </si>
  <si>
    <t>2-byte chip address + (2-byte address) * N</t>
  </si>
  <si>
    <t>0x0102</t>
  </si>
  <si>
    <t>(2 bytes data) * N</t>
  </si>
  <si>
    <t>When the host sends data, it first sends the 2-byte chip address, and then every 2-byte group, each group contains only the register address, two bytes; when the device returns data, every 2-byte group, each group only Contains data, 2 bytes;</t>
  </si>
  <si>
    <t>Configure ABD parameters</t>
  </si>
  <si>
    <t>0x0007</t>
  </si>
  <si>
    <t>(2-byte parameter name + 4-byte parameter value) * N</t>
  </si>
  <si>
    <t>0x0107</t>
  </si>
  <si>
    <t>None</t>
  </si>
  <si>
    <t>When the host sends data, every group of 6 bytes contains parameter name and parameter value</t>
  </si>
  <si>
    <t>Global parameters:
0x0000--roiMin; minimum detection distance gate
0x0001--roiMax; the farthest detection distance gate
0x0002--delayTime; delay time
High Threshold Parameters:
0x0010--activeFrameNum; The minimum number of frames detected
0x0011--inactiveFrameNum; The minimum number of frames for the target to disappear
0x0012---threshold; detection threshold, the square of the 2dfft modulus (the first two bytes of threshold represent the distance gate, and the last two bytes represent the threshold, such as 05 00 34 12: the fifth distance gate threshold 0x1234)
Low Threshold Parameters:
0x0020--activeFrameNum; The minimum number of frames detected
0x0021--inactiveFrameNum; The minimum number of frames for the target to disappear
0x0022---threshold; detection threshold, the square of the 2dfft modulus (the first two bytes of threshold represent the distance gate, and the last two bytes represent the threshold, such as 05 00 34 12: the fifth distance gate threshold 0x1234)</t>
  </si>
  <si>
    <t>NO</t>
  </si>
  <si>
    <t>Read ABD parameters</t>
  </si>
  <si>
    <t>0x0008</t>
  </si>
  <si>
    <t>(2-byte parameter name) * N</t>
  </si>
  <si>
    <t>0x0108</t>
  </si>
  <si>
    <t>(4 byte parameter value) * N</t>
  </si>
  <si>
    <t>When the host sends data, every group of 2 bytes contains only parameter values; when the device returns data, every group of 4 bytes contains only parameter values</t>
  </si>
  <si>
    <t xml:space="preserve">High Threshold Parameters:
0x0000--roiMin; minimum detection distance gate
0x0001--roiMax; the farthest detection distance gate
0x0002--activeFrameNum; The minimum number of frames detected
0x0003--inactiveFrameNum; The minimum number of frames for the target to disappear
Low Threshold Parameters:
0x0010--roiMin; minimum detection distance gate
0x0011--roiMax; the farthest detection distance gate
0x0012--activeFrameNum; detect the target minimum frame number
0x0013--inactiveFrameNum; The minimum number of frames for the target to disappear
High Threshold Threshold:
0x0020~0x002f respectively correspond to the high threshold of range gate 0~15
Low Threshold Threshold:
0x0030~0x003f respectively correspond to the high threshold of range gate 0~15
</t>
  </si>
  <si>
    <t>No</t>
  </si>
  <si>
    <t>Read serial number</t>
  </si>
  <si>
    <t>0x0011</t>
  </si>
  <si>
    <t>NoT</t>
  </si>
  <si>
    <t>0x0111</t>
  </si>
  <si>
    <t>2-byte module identification + 4-byte serial number</t>
  </si>
  <si>
    <t>Configure system parameters</t>
  </si>
  <si>
    <t>0x0012</t>
  </si>
  <si>
    <t>0x0112</t>
  </si>
  <si>
    <t>0x0000--systemMode;
     0-transparent,
     1-MTT,
     2-VS,
     3-GR
     ... (custom format is recommended to start from 10 or above)
0x0001--uploadSampleRate; downsampling ratio
0x0002--debugMode</t>
  </si>
  <si>
    <t>Read system parameters</t>
  </si>
  <si>
    <t>0x0013</t>
  </si>
  <si>
    <t>0x0113</t>
  </si>
  <si>
    <t>Enter factory test mode</t>
  </si>
  <si>
    <t>0x0024</t>
  </si>
  <si>
    <t>0x0124</t>
  </si>
  <si>
    <t>2-byte sub-board model
2-byte cascaded chip quantity
2 byte number of channels
2 byte data type
2 bytes 1DFFT size
2 bytes per frame chirp number
2-byte downsampling interval</t>
  </si>
  <si>
    <t>Sub board model: reserved, fill in 0
Number of chips: 1-single chip, 2-double chip,,,
Number of channels: number of receiving channels
Data type: 0-1DFFT, 1-2DFFT, 2-2DFFT PEAK, 3-DSRAW
Downsampling rate: 1 means no downsampling</t>
  </si>
  <si>
    <t>Exit factory test mode</t>
  </si>
  <si>
    <t>0x0025</t>
  </si>
  <si>
    <t>0x0125</t>
  </si>
  <si>
    <t>Send factory test results</t>
  </si>
  <si>
    <t>0x0026</t>
  </si>
  <si>
    <t>(2 byte address + 2 byte data) * N</t>
  </si>
  <si>
    <t>0x0126</t>
  </si>
  <si>
    <t>At present, it mainly updates the TX register</t>
  </si>
  <si>
    <t>Custom Command Range</t>
  </si>
  <si>
    <t>0x0060~0x00A0</t>
  </si>
  <si>
    <t>Customization</t>
  </si>
  <si>
    <t>0x1060~0x10A0</t>
  </si>
  <si>
    <t>Open command mode</t>
  </si>
  <si>
    <t>0x00FF</t>
  </si>
  <si>
    <t>2 bytes upper computer version</t>
  </si>
  <si>
    <t>0x01FF</t>
  </si>
  <si>
    <t>2-byte protocol version number + 2-byte sending and receiving buffer size</t>
  </si>
  <si>
    <t>The current protocol version number is 2</t>
  </si>
  <si>
    <t>Disable command mode</t>
  </si>
  <si>
    <t>0x00FE</t>
  </si>
  <si>
    <t>0x01FE</t>
  </si>
  <si>
    <t>Example</t>
  </si>
  <si>
    <t>Send Content</t>
  </si>
  <si>
    <t>Receive content</t>
  </si>
  <si>
    <t>Description</t>
  </si>
  <si>
    <t>Reading version</t>
  </si>
  <si>
    <t>12 bytes:
fd fc fb fa 02 00 00 00 04 03 02 01</t>
  </si>
  <si>
    <t>23 bytes:
FD FC FB FA 0D 00 00 01 00 00 07 00 76 31 2E 34 2E 31 34 04 03 02 01</t>
  </si>
  <si>
    <t>The return result is: 0-success
String length: 7
Major version number: 1
Minor version number: 4
patch version number: 14
Version information: v1.4.14</t>
  </si>
  <si>
    <t>Write a single register</t>
  </si>
  <si>
    <t>18 bytes:
fd fc fb fa 08 00 01 00
20 00 41 00 04 c8 04 03 
02 01</t>
  </si>
  <si>
    <t>14  bytes:
fd fc fb fa 04 00 01 01
00 00 04 03 02 01</t>
  </si>
  <si>
    <t>The returned result is:
0-success</t>
  </si>
  <si>
    <t>Write multiple registers</t>
  </si>
  <si>
    <t>"22 bytes (2 registers):
fd fc fb fa 0c 00 01 00
20 00 41 00 04 c8 42 00
03 00 04 03 02 01"</t>
  </si>
  <si>
    <t>14 bytes:
fd fc fb fa 04 00 01 01
00 00 04 03 02 01</t>
  </si>
  <si>
    <t>The returned result is:
0 - success
Note: If the number of registers written at one time is large, resulting in the total frame length exceeding 64 bytes, multiple write register commands need to be sent</t>
  </si>
  <si>
    <t>Read a single register</t>
  </si>
  <si>
    <t>16 bytes:
fd fc fb fa 04 00 02 00
20 00 41 00 04 03 02 01</t>
  </si>
  <si>
    <t>16 bytes:
fd fc fb fa 06 00 02 01
00 00 04 c8 04 03 02 01</t>
  </si>
  <si>
    <t>The return result is: 0-success
Register 0x0041: 0xC804</t>
  </si>
  <si>
    <t>Read multiple registers</t>
  </si>
  <si>
    <t>18 bytes:
fd fc fb fa 06 00 02 00
20 00 41 00 42 00 04 03 
02 01</t>
  </si>
  <si>
    <t>18 bytes:
fd fc fb fa 08 00 02 01
00 00 04 c8 03 00 04 03
02 01</t>
  </si>
  <si>
    <t>The return result is: 0-success
Register 0x0041: 0xC804
Register 0x0042: 0x0003
Note: If the number of registers to be read at one time is large, resulting in the total length of the frame exceeding 64 bytes, multiple read register commands need to be sent</t>
  </si>
  <si>
    <t>12 bytes:
fd fc fb fa 04 00 ff 00 01 00 04 03 02 01</t>
  </si>
  <si>
    <t>14 bytes:
fd fc fb fa 08 00 ff 01
00 00 02 00 00 04 04 03 
02 01</t>
  </si>
  <si>
    <t>The returned result is:
0 - success
Protocol version number: 2
Transceiver buffer size: 1024</t>
  </si>
  <si>
    <t>12 bytes:
fd fc fb fa 02 00 fe 00 04 03 02 01</t>
  </si>
  <si>
    <t>14 bytes:
fd fc fb fa 04 00 fe 01
00 00 04 03 02 01</t>
  </si>
  <si>
    <t>12 bytes:
fd fc fb fa 02 00 24 00 04 03 02 01</t>
  </si>
  <si>
    <t>28 bytes:
fd fc fb fa 12 00 24 01 00 00 00 00 02 00 04 00
00 00 40 00 20 00 02 00 04 03 02 01</t>
  </si>
  <si>
    <t>The return result is: 0-success
Daughter board model: 0
Number of cascaded chips: 2
Number of channels: 4
Data Type: 0
1DFFT size: 64
Number of chirps per frame: 32
Downsampling Interval: 2</t>
  </si>
  <si>
    <t>12 bytes:
fd fc fb fa 02 00 26 00 04 03 02 01</t>
  </si>
  <si>
    <t>28 bytes:
fd fc fb fa 12 00 26 01 00 00 00 00 02 00 04 00
00 00 40 00 20 00 02 00 04 03 02 01</t>
  </si>
  <si>
    <t>Column1</t>
  </si>
  <si>
    <t>Radar serial port data format description:</t>
  </si>
  <si>
    <t>1. Frame: Each command data is called a frame; the frame consists of 4 parts: frame header, data length in the frame, data in the frame and tail of the frame;</t>
  </si>
  <si>
    <t>2. Intra-frame data: The intra-frame data starts with a command, followed by the data content</t>
  </si>
  <si>
    <t>Notice:</t>
  </si>
  <si>
    <t>1. The maximum data length of a single serial port command does not exceed 64 bytes (the size is subject to the actual situation, and each platform may be different. When the upper computer sends the start command, the result returned by the lower computer includes the buffer size of the command communication) , so when reading and writing multiple registers, if it exceeds 64 bytes, it needs to be divided into multiple commands and issued.</t>
  </si>
  <si>
    <t>2. Byte order: little endian</t>
  </si>
  <si>
    <t>3. Because the serial port will output the radar waveform data by default, it is necessary to switch to the command mode before issuing the command. The usual method is divided into three steps:</t>
  </si>
  <si>
    <t xml:space="preserve">    a) Send "open command mode" (because the chip may still output data, the data received by the serial port will contain waveform data, so the returned result will not be analyzed)</t>
  </si>
  <si>
    <t xml:space="preserve">    b) Clear the serial port cache data (generally delay about 100ms, make sure the serial port data is cleared)</t>
  </si>
  <si>
    <t xml:space="preserve">    c) Send "open command mode" again, and analyze the returned result</t>
  </si>
  <si>
    <t xml:space="preserve">    After the end of the command mode, send "Close command mode" to start the waveform data transmission</t>
  </si>
  <si>
    <t>4. The user-defined command ID interval is recommended to be placed in the interval 0x0060~0x00A0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</si>
</sst>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sz val="12"/>
      <color theme="1"/>
      <name val="Times New Roman"/>
      <charset val="134"/>
    </font>
    <font>
      <sz val="12"/>
      <color rgb="FFFF0000"/>
      <name val="Times New Roman"/>
      <charset val="134"/>
    </font>
    <font>
      <sz val="12"/>
      <color theme="1"/>
      <name val="宋体"/>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Border="1" applyAlignment="1">
      <alignment horizontal="justify" vertical="center" wrapText="1"/>
    </xf>
    <xf numFmtId="0" fontId="1" fillId="0" borderId="0" xfId="0" applyFont="1" applyBorder="1">
      <alignment vertical="center"/>
    </xf>
    <xf numFmtId="0" fontId="1" fillId="0" borderId="0" xfId="0" applyFont="1" applyBorder="1" applyAlignment="1">
      <alignment horizontal="justify" vertical="center"/>
    </xf>
    <xf numFmtId="0" fontId="1" fillId="0" borderId="0" xfId="0" applyFont="1" applyBorder="1" applyAlignment="1">
      <alignment horizontal="justify" vertical="center" wrapText="1"/>
    </xf>
    <xf numFmtId="0" fontId="1" fillId="0" borderId="0" xfId="0" applyFont="1" applyBorder="1" applyAlignment="1">
      <alignment vertical="center" wrapText="1"/>
    </xf>
    <xf numFmtId="0" fontId="2" fillId="0" borderId="0" xfId="0" applyFont="1" applyBorder="1" applyAlignment="1">
      <alignment horizontal="justify" vertical="center" wrapText="1"/>
    </xf>
    <xf numFmtId="0" fontId="3" fillId="0" borderId="0" xfId="0" applyFont="1" applyBorder="1" applyAlignment="1">
      <alignment vertical="center" wrapText="1"/>
    </xf>
    <xf numFmtId="0" fontId="1" fillId="0" borderId="0" xfId="0" applyFont="1" applyBorder="1" applyAlignment="1">
      <alignment horizontal="left" vertical="center" wrapText="1"/>
    </xf>
    <xf numFmtId="0" fontId="1" fillId="0" borderId="0" xfId="0" applyFont="1" applyBorder="1" applyAlignment="1">
      <alignment horizontal="justify" vertical="top" wrapText="1"/>
    </xf>
    <xf numFmtId="0" fontId="1" fillId="0" borderId="0" xfId="0" applyFont="1" applyBorder="1" applyAlignment="1">
      <alignment vertical="top" wrapText="1"/>
    </xf>
    <xf numFmtId="0" fontId="1" fillId="0" borderId="0" xfId="0" applyFont="1" applyBorder="1" applyAlignment="1">
      <alignment vertical="center"/>
    </xf>
  </cellXfs>
  <cellStyles count="1">
    <cellStyle name="Normal" xfId="0" builtinId="0"/>
  </cellStyles>
  <dxfs count="15">
    <dxf>
      <font>
        <b val="0"/>
        <i val="0"/>
        <strike val="0"/>
        <condense val="0"/>
        <extend val="0"/>
        <outline val="0"/>
        <shadow val="0"/>
        <u val="none"/>
        <vertAlign val="baseline"/>
        <sz val="12"/>
        <color theme="1"/>
        <name val="Times New Roman"/>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0"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0"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charset val="134"/>
        <scheme val="none"/>
      </font>
      <alignment horizontal="justify"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1602ECA-DD80-44C4-BE4B-00009F35A0B4}" name="Table5" displayName="Table5" ref="A1:I15" totalsRowShown="0" headerRowDxfId="10" dataDxfId="9">
  <autoFilter ref="A1:I15" xr:uid="{31602ECA-DD80-44C4-BE4B-00009F35A0B4}"/>
  <tableColumns count="9">
    <tableColumn id="1" xr3:uid="{328EE017-8CF9-4D5E-95FD-FF37A3C6A460}" name="Command type" dataDxfId="8"/>
    <tableColumn id="2" xr3:uid="{B4FA8541-B8F9-47CB-B2B5-2A16B5E227A4}" name="Command value (2 bytes)" dataDxfId="7"/>
    <tableColumn id="3" xr3:uid="{36D6581D-70FA-44B8-8E9C-650A255A311F}" name="Command data" dataDxfId="6"/>
    <tableColumn id="4" xr3:uid="{494E5AE2-7AC1-492E-BD92-BF8CF404310E}" name="Return command" dataDxfId="5"/>
    <tableColumn id="5" xr3:uid="{1AE54B5A-FA5F-4F7D-BE33-28CA0624F0FB}" name="Return value" dataDxfId="4"/>
    <tableColumn id="6" xr3:uid="{2A924BBD-5795-4698-AB9A-68C9F814ED7A}" name="Return result data" dataDxfId="3"/>
    <tableColumn id="7" xr3:uid="{99107CD8-3FEE-484D-A57C-9CD9E3AD2C67}" name="Directions" dataDxfId="2"/>
    <tableColumn id="8" xr3:uid="{0859F0EE-D22C-4937-A4E2-0E3E7A258992}" name="Parameter details" dataDxfId="1"/>
    <tableColumn id="9" xr3:uid="{191693EC-D710-4A02-8DBA-7355CEF18187}" name="Is it necessary to support" dataDxfId="0"/>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AB1F58-EF61-4C21-819B-E2422BAB2570}" name="Table4" displayName="Table4" ref="A1:E11" totalsRowShown="0">
  <autoFilter ref="A1:E11" xr:uid="{0DAB1F58-EF61-4C21-819B-E2422BAB2570}"/>
  <tableColumns count="5">
    <tableColumn id="1" xr3:uid="{266D5625-8CC4-4571-B4C5-03B67A11E459}" name="Example" dataDxfId="14"/>
    <tableColumn id="2" xr3:uid="{0717A0F3-9E53-4779-A58F-B97E6BA52E7D}" name="Send Content" dataDxfId="13"/>
    <tableColumn id="3" xr3:uid="{EF04FF60-84AE-4918-AEDC-C6E3F0261B5B}" name="Column1" dataDxfId="12"/>
    <tableColumn id="4" xr3:uid="{1045229E-604B-43B7-8A76-E0D2553DF141}" name="Receive content"/>
    <tableColumn id="5" xr3:uid="{6CE99314-5A8D-4D90-9301-0C67C5DC51F3}" name="Description" dataDxfId="11"/>
  </tableColumns>
  <tableStyleInfo name="TableStyleMedium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showGridLines="0" tabSelected="1" workbookViewId="0">
      <selection activeCell="A13" sqref="A13"/>
    </sheetView>
  </sheetViews>
  <sheetFormatPr defaultColWidth="8.85546875" defaultRowHeight="15.75"/>
  <cols>
    <col min="1" max="1" width="23.5703125" style="2" customWidth="1"/>
    <col min="2" max="2" width="23.85546875" style="5" customWidth="1"/>
    <col min="3" max="3" width="25.28515625" style="5" customWidth="1"/>
    <col min="4" max="4" width="21.5703125" style="2" customWidth="1"/>
    <col min="5" max="5" width="21.42578125" style="2" bestFit="1" customWidth="1"/>
    <col min="6" max="6" width="24.140625" style="5" customWidth="1"/>
    <col min="7" max="7" width="34.140625" style="2" customWidth="1"/>
    <col min="8" max="8" width="56" style="2" customWidth="1"/>
    <col min="9" max="9" width="18.28515625" style="2" customWidth="1"/>
    <col min="10" max="10" width="8.85546875" style="2"/>
    <col min="11" max="11" width="13.140625" style="2" customWidth="1"/>
    <col min="12" max="12" width="8.85546875" style="2"/>
    <col min="13" max="13" width="11.42578125" style="2" customWidth="1"/>
    <col min="14" max="16384" width="8.85546875" style="2"/>
  </cols>
  <sheetData>
    <row r="1" spans="1:9" ht="15.75" customHeight="1">
      <c r="A1" s="1" t="s">
        <v>0</v>
      </c>
      <c r="B1" s="1"/>
      <c r="C1" s="1"/>
      <c r="D1" s="1"/>
      <c r="E1" s="1"/>
      <c r="F1" s="1"/>
      <c r="G1" s="1"/>
    </row>
    <row r="2" spans="1:9" ht="240" customHeight="1">
      <c r="A2" s="1"/>
      <c r="B2" s="1"/>
      <c r="C2" s="1"/>
      <c r="D2" s="1"/>
      <c r="E2" s="1"/>
      <c r="F2" s="1"/>
      <c r="G2" s="1"/>
    </row>
    <row r="3" spans="1:9">
      <c r="A3" s="3"/>
      <c r="B3" s="4"/>
      <c r="C3" s="4"/>
      <c r="D3" s="3"/>
      <c r="E3" s="3"/>
      <c r="F3" s="4"/>
      <c r="G3" s="3"/>
      <c r="H3" s="3"/>
    </row>
    <row r="4" spans="1:9">
      <c r="A4" s="4" t="s">
        <v>1</v>
      </c>
      <c r="B4" s="4"/>
      <c r="C4" s="4"/>
      <c r="D4" s="3"/>
      <c r="E4" s="3"/>
      <c r="F4" s="4"/>
      <c r="G4" s="3"/>
      <c r="H4" s="3"/>
    </row>
    <row r="5" spans="1:9" ht="31.5">
      <c r="A5" s="4" t="s">
        <v>2</v>
      </c>
      <c r="B5" s="4" t="s">
        <v>3</v>
      </c>
      <c r="C5" s="4"/>
      <c r="D5" s="3"/>
      <c r="E5" s="3"/>
      <c r="F5" s="4"/>
      <c r="G5" s="3"/>
      <c r="H5" s="3"/>
    </row>
    <row r="6" spans="1:9">
      <c r="A6" s="3"/>
      <c r="B6" s="4"/>
      <c r="C6" s="4"/>
      <c r="D6" s="3"/>
      <c r="E6" s="3"/>
      <c r="F6" s="4"/>
      <c r="G6" s="3"/>
      <c r="H6" s="3"/>
    </row>
    <row r="7" spans="1:9">
      <c r="A7" s="3" t="s">
        <v>4</v>
      </c>
      <c r="B7" s="4"/>
      <c r="C7" s="4"/>
      <c r="D7" s="3"/>
      <c r="E7" s="3"/>
      <c r="F7" s="4"/>
      <c r="G7" s="3"/>
      <c r="H7" s="3"/>
    </row>
    <row r="8" spans="1:9">
      <c r="A8" s="3" t="s">
        <v>5</v>
      </c>
      <c r="B8" s="4" t="s">
        <v>6</v>
      </c>
      <c r="C8" s="4"/>
      <c r="D8" s="3"/>
      <c r="E8" s="3"/>
      <c r="F8" s="4"/>
      <c r="G8" s="3"/>
      <c r="H8" s="3"/>
    </row>
    <row r="9" spans="1:9">
      <c r="A9" s="3" t="s">
        <v>7</v>
      </c>
      <c r="B9" s="4" t="s">
        <v>8</v>
      </c>
      <c r="C9" s="4"/>
      <c r="D9" s="3"/>
      <c r="E9" s="3"/>
      <c r="F9" s="4"/>
      <c r="G9" s="3"/>
      <c r="H9" s="3"/>
    </row>
    <row r="10" spans="1:9" ht="78.75">
      <c r="A10" s="3" t="s">
        <v>9</v>
      </c>
      <c r="B10" s="4" t="s">
        <v>10</v>
      </c>
      <c r="C10" s="4" t="s">
        <v>11</v>
      </c>
      <c r="D10" s="3"/>
      <c r="E10" s="3"/>
      <c r="F10" s="4"/>
      <c r="G10" s="3"/>
      <c r="H10" s="3"/>
    </row>
    <row r="11" spans="1:9">
      <c r="A11" s="3" t="s">
        <v>12</v>
      </c>
      <c r="B11" s="4" t="s">
        <v>13</v>
      </c>
      <c r="C11" s="4"/>
      <c r="D11" s="3"/>
      <c r="E11" s="3"/>
      <c r="F11" s="4"/>
      <c r="G11" s="3"/>
      <c r="H11" s="3"/>
    </row>
    <row r="12" spans="1:9">
      <c r="A12" s="3"/>
      <c r="B12" s="4"/>
      <c r="C12" s="4"/>
      <c r="D12" s="3"/>
      <c r="E12" s="3"/>
      <c r="F12" s="4"/>
      <c r="G12" s="3"/>
      <c r="H12" s="3"/>
    </row>
    <row r="13" spans="1:9">
      <c r="A13" s="3" t="s">
        <v>14</v>
      </c>
      <c r="B13" s="4"/>
      <c r="C13" s="4"/>
      <c r="D13" s="3"/>
      <c r="E13" s="3"/>
      <c r="F13" s="4"/>
      <c r="G13" s="3"/>
      <c r="H13" s="3"/>
    </row>
    <row r="14" spans="1:9" ht="63" customHeight="1">
      <c r="A14" s="3" t="s">
        <v>15</v>
      </c>
      <c r="B14" s="4" t="s">
        <v>16</v>
      </c>
      <c r="C14" s="4" t="s">
        <v>17</v>
      </c>
      <c r="D14" s="3" t="s">
        <v>18</v>
      </c>
      <c r="E14" s="3" t="s">
        <v>19</v>
      </c>
      <c r="F14" s="4" t="s">
        <v>20</v>
      </c>
      <c r="G14" s="4" t="s">
        <v>21</v>
      </c>
      <c r="H14" s="4" t="s">
        <v>22</v>
      </c>
      <c r="I14" s="5" t="s">
        <v>23</v>
      </c>
    </row>
    <row r="15" spans="1:9" ht="110.25">
      <c r="A15" s="3" t="s">
        <v>24</v>
      </c>
      <c r="B15" s="4" t="s">
        <v>25</v>
      </c>
      <c r="C15" s="4" t="s">
        <v>26</v>
      </c>
      <c r="D15" s="3" t="s">
        <v>27</v>
      </c>
      <c r="E15" s="4" t="s">
        <v>28</v>
      </c>
      <c r="F15" s="4" t="s">
        <v>29</v>
      </c>
      <c r="G15" s="4" t="s">
        <v>30</v>
      </c>
      <c r="H15" s="4"/>
      <c r="I15" s="5" t="s">
        <v>31</v>
      </c>
    </row>
    <row r="16" spans="1:9" ht="78.75">
      <c r="A16" s="3" t="s">
        <v>32</v>
      </c>
      <c r="B16" s="4" t="s">
        <v>33</v>
      </c>
      <c r="C16" s="4" t="s">
        <v>34</v>
      </c>
      <c r="D16" s="3" t="s">
        <v>35</v>
      </c>
      <c r="E16" s="4" t="s">
        <v>28</v>
      </c>
      <c r="F16" s="4" t="s">
        <v>26</v>
      </c>
      <c r="G16" s="4" t="s">
        <v>36</v>
      </c>
      <c r="H16" s="3"/>
      <c r="I16" s="5" t="s">
        <v>31</v>
      </c>
    </row>
    <row r="17" spans="1:9" ht="111" customHeight="1">
      <c r="A17" s="3" t="s">
        <v>37</v>
      </c>
      <c r="B17" s="4" t="s">
        <v>38</v>
      </c>
      <c r="C17" s="4" t="s">
        <v>39</v>
      </c>
      <c r="D17" s="3" t="s">
        <v>40</v>
      </c>
      <c r="E17" s="4" t="s">
        <v>28</v>
      </c>
      <c r="F17" s="4" t="s">
        <v>41</v>
      </c>
      <c r="G17" s="4" t="s">
        <v>42</v>
      </c>
      <c r="H17" s="3"/>
      <c r="I17" s="5" t="s">
        <v>31</v>
      </c>
    </row>
    <row r="18" spans="1:9" ht="393.75">
      <c r="A18" s="3" t="s">
        <v>43</v>
      </c>
      <c r="B18" s="4" t="s">
        <v>44</v>
      </c>
      <c r="C18" s="4" t="s">
        <v>45</v>
      </c>
      <c r="D18" s="3" t="s">
        <v>46</v>
      </c>
      <c r="E18" s="4" t="s">
        <v>28</v>
      </c>
      <c r="F18" s="4" t="s">
        <v>47</v>
      </c>
      <c r="G18" s="4" t="s">
        <v>48</v>
      </c>
      <c r="H18" s="6" t="s">
        <v>49</v>
      </c>
      <c r="I18" s="5" t="s">
        <v>50</v>
      </c>
    </row>
    <row r="19" spans="1:9" ht="362.25">
      <c r="A19" s="3" t="s">
        <v>51</v>
      </c>
      <c r="B19" s="4" t="s">
        <v>52</v>
      </c>
      <c r="C19" s="4" t="s">
        <v>53</v>
      </c>
      <c r="D19" s="3" t="s">
        <v>54</v>
      </c>
      <c r="E19" s="4" t="s">
        <v>28</v>
      </c>
      <c r="F19" s="4" t="s">
        <v>55</v>
      </c>
      <c r="G19" s="4" t="s">
        <v>56</v>
      </c>
      <c r="H19" s="6" t="s">
        <v>57</v>
      </c>
      <c r="I19" s="7" t="s">
        <v>58</v>
      </c>
    </row>
    <row r="20" spans="1:9" ht="63" customHeight="1">
      <c r="A20" s="3" t="s">
        <v>59</v>
      </c>
      <c r="B20" s="4" t="s">
        <v>60</v>
      </c>
      <c r="C20" s="4" t="s">
        <v>61</v>
      </c>
      <c r="D20" s="3" t="s">
        <v>62</v>
      </c>
      <c r="E20" s="4" t="s">
        <v>28</v>
      </c>
      <c r="F20" s="4" t="s">
        <v>63</v>
      </c>
      <c r="G20" s="4"/>
      <c r="H20" s="3"/>
      <c r="I20" s="5" t="s">
        <v>58</v>
      </c>
    </row>
    <row r="21" spans="1:9" ht="141.75">
      <c r="A21" s="3" t="s">
        <v>64</v>
      </c>
      <c r="B21" s="4" t="s">
        <v>65</v>
      </c>
      <c r="C21" s="4" t="s">
        <v>45</v>
      </c>
      <c r="D21" s="3" t="s">
        <v>66</v>
      </c>
      <c r="E21" s="4" t="s">
        <v>28</v>
      </c>
      <c r="F21" s="4" t="s">
        <v>47</v>
      </c>
      <c r="G21" s="4" t="s">
        <v>48</v>
      </c>
      <c r="H21" s="4" t="s">
        <v>67</v>
      </c>
      <c r="I21" s="5" t="s">
        <v>58</v>
      </c>
    </row>
    <row r="22" spans="1:9" ht="78.75">
      <c r="A22" s="3" t="s">
        <v>68</v>
      </c>
      <c r="B22" s="4" t="s">
        <v>69</v>
      </c>
      <c r="C22" s="4" t="s">
        <v>53</v>
      </c>
      <c r="D22" s="3" t="s">
        <v>70</v>
      </c>
      <c r="E22" s="4" t="s">
        <v>28</v>
      </c>
      <c r="F22" s="4" t="s">
        <v>55</v>
      </c>
      <c r="G22" s="4" t="s">
        <v>56</v>
      </c>
      <c r="H22" s="3"/>
      <c r="I22" s="5" t="s">
        <v>58</v>
      </c>
    </row>
    <row r="23" spans="1:9" ht="157.5">
      <c r="A23" s="3" t="s">
        <v>71</v>
      </c>
      <c r="B23" s="4" t="s">
        <v>72</v>
      </c>
      <c r="C23" s="4" t="s">
        <v>47</v>
      </c>
      <c r="D23" s="3" t="s">
        <v>73</v>
      </c>
      <c r="E23" s="4" t="s">
        <v>28</v>
      </c>
      <c r="F23" s="4" t="s">
        <v>74</v>
      </c>
      <c r="G23" s="4"/>
      <c r="H23" s="4" t="s">
        <v>75</v>
      </c>
      <c r="I23" s="5" t="s">
        <v>50</v>
      </c>
    </row>
    <row r="24" spans="1:9" ht="63" customHeight="1">
      <c r="A24" s="3" t="s">
        <v>76</v>
      </c>
      <c r="B24" s="4" t="s">
        <v>77</v>
      </c>
      <c r="C24" s="4" t="s">
        <v>47</v>
      </c>
      <c r="D24" s="3" t="s">
        <v>78</v>
      </c>
      <c r="E24" s="4" t="s">
        <v>28</v>
      </c>
      <c r="F24" s="4" t="s">
        <v>47</v>
      </c>
      <c r="G24" s="4"/>
      <c r="H24" s="4"/>
      <c r="I24" s="5" t="s">
        <v>50</v>
      </c>
    </row>
    <row r="25" spans="1:9" ht="63" customHeight="1">
      <c r="A25" s="3" t="s">
        <v>79</v>
      </c>
      <c r="B25" s="4" t="s">
        <v>80</v>
      </c>
      <c r="C25" s="4" t="s">
        <v>81</v>
      </c>
      <c r="D25" s="3" t="s">
        <v>82</v>
      </c>
      <c r="E25" s="4" t="s">
        <v>28</v>
      </c>
      <c r="F25" s="4" t="s">
        <v>47</v>
      </c>
      <c r="G25" s="4"/>
      <c r="H25" s="4" t="s">
        <v>83</v>
      </c>
      <c r="I25" s="5" t="s">
        <v>50</v>
      </c>
    </row>
    <row r="26" spans="1:9" ht="31.5">
      <c r="A26" s="3" t="s">
        <v>84</v>
      </c>
      <c r="B26" s="4" t="s">
        <v>85</v>
      </c>
      <c r="C26" s="4" t="s">
        <v>86</v>
      </c>
      <c r="D26" s="3" t="s">
        <v>87</v>
      </c>
      <c r="E26" s="4" t="s">
        <v>86</v>
      </c>
      <c r="F26" s="3"/>
      <c r="G26" s="4"/>
      <c r="H26" s="3"/>
    </row>
    <row r="27" spans="1:9" ht="63" customHeight="1">
      <c r="A27" s="3" t="s">
        <v>88</v>
      </c>
      <c r="B27" s="4" t="s">
        <v>89</v>
      </c>
      <c r="C27" s="4" t="s">
        <v>90</v>
      </c>
      <c r="D27" s="3" t="s">
        <v>91</v>
      </c>
      <c r="E27" s="4" t="s">
        <v>28</v>
      </c>
      <c r="F27" s="4" t="s">
        <v>92</v>
      </c>
      <c r="G27" s="4"/>
      <c r="H27" s="4" t="s">
        <v>93</v>
      </c>
      <c r="I27" s="5" t="s">
        <v>31</v>
      </c>
    </row>
    <row r="28" spans="1:9" ht="51" customHeight="1">
      <c r="A28" s="3" t="s">
        <v>94</v>
      </c>
      <c r="B28" s="4" t="s">
        <v>95</v>
      </c>
      <c r="C28" s="4" t="s">
        <v>47</v>
      </c>
      <c r="D28" s="3" t="s">
        <v>96</v>
      </c>
      <c r="E28" s="4" t="s">
        <v>28</v>
      </c>
      <c r="F28" s="4" t="s">
        <v>47</v>
      </c>
      <c r="G28" s="4"/>
      <c r="H28" s="3"/>
      <c r="I28" s="5" t="s">
        <v>31</v>
      </c>
    </row>
    <row r="29" spans="1:9" ht="51.95" customHeight="1">
      <c r="A29" s="3"/>
      <c r="B29" s="4"/>
      <c r="C29" s="4"/>
      <c r="D29" s="3"/>
      <c r="E29" s="3"/>
      <c r="F29" s="4"/>
      <c r="G29" s="3"/>
      <c r="H29" s="3"/>
    </row>
    <row r="30" spans="1:9" ht="88.9" customHeight="1">
      <c r="A30" s="3" t="s">
        <v>97</v>
      </c>
      <c r="B30" s="8" t="s">
        <v>98</v>
      </c>
      <c r="C30" s="8"/>
      <c r="D30" s="4" t="s">
        <v>99</v>
      </c>
      <c r="E30" s="3" t="s">
        <v>100</v>
      </c>
      <c r="F30" s="3"/>
    </row>
    <row r="31" spans="1:9" ht="100.15" customHeight="1">
      <c r="A31" s="3" t="s">
        <v>101</v>
      </c>
      <c r="B31" s="8" t="s">
        <v>102</v>
      </c>
      <c r="C31" s="8"/>
      <c r="D31" s="5" t="s">
        <v>103</v>
      </c>
      <c r="E31" s="4" t="s">
        <v>104</v>
      </c>
      <c r="F31" s="3"/>
    </row>
    <row r="32" spans="1:9" ht="90.95" customHeight="1">
      <c r="A32" s="3" t="s">
        <v>105</v>
      </c>
      <c r="B32" s="1" t="s">
        <v>106</v>
      </c>
      <c r="C32" s="1"/>
      <c r="D32" s="5" t="s">
        <v>107</v>
      </c>
      <c r="E32" s="4" t="s">
        <v>108</v>
      </c>
      <c r="F32" s="3"/>
    </row>
    <row r="33" spans="1:6" ht="98.1" customHeight="1">
      <c r="A33" s="3" t="s">
        <v>109</v>
      </c>
      <c r="B33" s="1" t="s">
        <v>110</v>
      </c>
      <c r="C33" s="1"/>
      <c r="D33" s="5" t="s">
        <v>111</v>
      </c>
      <c r="E33" s="4" t="s">
        <v>112</v>
      </c>
      <c r="F33" s="3"/>
    </row>
    <row r="34" spans="1:6" ht="78" customHeight="1">
      <c r="A34" s="3" t="s">
        <v>113</v>
      </c>
      <c r="B34" s="1" t="s">
        <v>114</v>
      </c>
      <c r="C34" s="1"/>
      <c r="D34" s="5" t="s">
        <v>115</v>
      </c>
      <c r="E34" s="4" t="s">
        <v>116</v>
      </c>
      <c r="F34" s="3"/>
    </row>
    <row r="35" spans="1:6" ht="138" customHeight="1">
      <c r="A35" s="3" t="s">
        <v>117</v>
      </c>
      <c r="B35" s="1" t="s">
        <v>118</v>
      </c>
      <c r="C35" s="1"/>
      <c r="D35" s="5" t="s">
        <v>119</v>
      </c>
      <c r="E35" s="4" t="s">
        <v>120</v>
      </c>
      <c r="F35" s="3"/>
    </row>
    <row r="36" spans="1:6" ht="78" customHeight="1">
      <c r="A36" s="3" t="s">
        <v>88</v>
      </c>
      <c r="B36" s="1" t="s">
        <v>121</v>
      </c>
      <c r="C36" s="1"/>
      <c r="D36" s="5" t="s">
        <v>122</v>
      </c>
      <c r="E36" s="4" t="s">
        <v>123</v>
      </c>
      <c r="F36" s="3"/>
    </row>
    <row r="37" spans="1:6" ht="54.95" customHeight="1">
      <c r="A37" s="3" t="s">
        <v>94</v>
      </c>
      <c r="B37" s="1" t="s">
        <v>124</v>
      </c>
      <c r="C37" s="1"/>
      <c r="D37" s="5" t="s">
        <v>125</v>
      </c>
      <c r="E37" s="4" t="s">
        <v>108</v>
      </c>
      <c r="F37" s="3"/>
    </row>
    <row r="38" spans="1:6">
      <c r="A38" s="3"/>
      <c r="B38" s="1"/>
      <c r="C38" s="1"/>
      <c r="D38" s="11"/>
      <c r="E38" s="3"/>
      <c r="F38" s="3"/>
    </row>
    <row r="39" spans="1:6" ht="137.65" customHeight="1">
      <c r="A39" s="3" t="s">
        <v>71</v>
      </c>
      <c r="B39" s="9" t="s">
        <v>126</v>
      </c>
      <c r="C39" s="9"/>
      <c r="D39" s="10" t="s">
        <v>127</v>
      </c>
      <c r="E39" s="4" t="s">
        <v>128</v>
      </c>
      <c r="F39" s="3"/>
    </row>
    <row r="40" spans="1:6" ht="135.94999999999999" customHeight="1">
      <c r="A40" s="3" t="s">
        <v>79</v>
      </c>
      <c r="B40" s="9" t="s">
        <v>129</v>
      </c>
      <c r="C40" s="9"/>
      <c r="D40" s="10" t="s">
        <v>130</v>
      </c>
      <c r="E40" s="4" t="s">
        <v>128</v>
      </c>
      <c r="F40" s="3"/>
    </row>
  </sheetData>
  <mergeCells count="12">
    <mergeCell ref="B39:C39"/>
    <mergeCell ref="B40:C40"/>
    <mergeCell ref="A1:G2"/>
    <mergeCell ref="B36:C36"/>
    <mergeCell ref="B37:C37"/>
    <mergeCell ref="B38:C38"/>
    <mergeCell ref="B33:C33"/>
    <mergeCell ref="B34:C34"/>
    <mergeCell ref="B35:C35"/>
    <mergeCell ref="B30:C30"/>
    <mergeCell ref="B31:C31"/>
    <mergeCell ref="B32:C32"/>
  </mergeCells>
  <pageMargins left="0.7" right="0.7" top="0.75" bottom="0.75" header="0.3" footer="0.3"/>
  <pageSetup paperSize="9" scale="7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8257-501C-4F29-9203-2561390E33AE}">
  <dimension ref="A1:G13"/>
  <sheetViews>
    <sheetView workbookViewId="0">
      <selection activeCell="A26" sqref="A26"/>
    </sheetView>
  </sheetViews>
  <sheetFormatPr defaultRowHeight="15"/>
  <cols>
    <col min="1" max="1" width="255.7109375" bestFit="1" customWidth="1"/>
  </cols>
  <sheetData>
    <row r="1" spans="1:7" ht="15" customHeight="1">
      <c r="A1" s="5" t="s">
        <v>132</v>
      </c>
      <c r="B1" s="5"/>
      <c r="C1" s="5"/>
      <c r="D1" s="5"/>
      <c r="E1" s="5"/>
      <c r="F1" s="5"/>
      <c r="G1" s="5"/>
    </row>
    <row r="2" spans="1:7" ht="15" customHeight="1">
      <c r="A2" s="5" t="s">
        <v>133</v>
      </c>
      <c r="B2" s="5"/>
      <c r="C2" s="5"/>
      <c r="D2" s="5"/>
      <c r="E2" s="5"/>
      <c r="F2" s="5"/>
      <c r="G2" s="5"/>
    </row>
    <row r="3" spans="1:7">
      <c r="A3" t="s">
        <v>134</v>
      </c>
    </row>
    <row r="5" spans="1:7">
      <c r="A5" t="s">
        <v>135</v>
      </c>
    </row>
    <row r="6" spans="1:7">
      <c r="A6" t="s">
        <v>136</v>
      </c>
    </row>
    <row r="7" spans="1:7">
      <c r="A7" t="s">
        <v>137</v>
      </c>
    </row>
    <row r="8" spans="1:7">
      <c r="A8" t="s">
        <v>138</v>
      </c>
    </row>
    <row r="9" spans="1:7">
      <c r="A9" t="s">
        <v>139</v>
      </c>
    </row>
    <row r="10" spans="1:7">
      <c r="A10" t="s">
        <v>140</v>
      </c>
    </row>
    <row r="11" spans="1:7">
      <c r="A11" t="s">
        <v>141</v>
      </c>
    </row>
    <row r="12" spans="1:7">
      <c r="A12" t="s">
        <v>142</v>
      </c>
    </row>
    <row r="13" spans="1:7">
      <c r="A13" t="s">
        <v>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B06E-FEEB-4667-ADD7-E2B1344F1412}">
  <dimension ref="A1:C10"/>
  <sheetViews>
    <sheetView workbookViewId="0">
      <selection activeCell="F7" sqref="F7"/>
    </sheetView>
  </sheetViews>
  <sheetFormatPr defaultRowHeight="15"/>
  <cols>
    <col min="1" max="1" width="29.28515625" customWidth="1"/>
    <col min="2" max="2" width="38" customWidth="1"/>
    <col min="3" max="3" width="52.7109375" customWidth="1"/>
    <col min="6" max="6" width="26" customWidth="1"/>
  </cols>
  <sheetData>
    <row r="1" spans="1:3" ht="31.5">
      <c r="A1" s="4" t="s">
        <v>1</v>
      </c>
      <c r="B1" s="4"/>
      <c r="C1" s="4"/>
    </row>
    <row r="2" spans="1:3" ht="78.75">
      <c r="A2" s="4" t="s">
        <v>2</v>
      </c>
      <c r="B2" s="4" t="s">
        <v>3</v>
      </c>
      <c r="C2" s="4"/>
    </row>
    <row r="3" spans="1:3" ht="15.75">
      <c r="A3" s="3"/>
      <c r="B3" s="4"/>
      <c r="C3" s="4"/>
    </row>
    <row r="4" spans="1:3" ht="31.5">
      <c r="A4" s="3" t="s">
        <v>4</v>
      </c>
      <c r="B4" s="4"/>
      <c r="C4" s="4"/>
    </row>
    <row r="5" spans="1:3" ht="31.5">
      <c r="A5" s="3" t="s">
        <v>5</v>
      </c>
      <c r="B5" s="4" t="s">
        <v>6</v>
      </c>
      <c r="C5" s="4"/>
    </row>
    <row r="6" spans="1:3" ht="63">
      <c r="A6" s="3" t="s">
        <v>7</v>
      </c>
      <c r="B6" s="4" t="s">
        <v>8</v>
      </c>
      <c r="C6" s="4"/>
    </row>
    <row r="7" spans="1:3" ht="252">
      <c r="A7" s="3" t="s">
        <v>9</v>
      </c>
      <c r="B7" s="4" t="s">
        <v>10</v>
      </c>
      <c r="C7" s="4" t="s">
        <v>11</v>
      </c>
    </row>
    <row r="8" spans="1:3" ht="31.5">
      <c r="A8" s="3" t="s">
        <v>12</v>
      </c>
      <c r="B8" s="4" t="s">
        <v>13</v>
      </c>
      <c r="C8" s="4"/>
    </row>
    <row r="9" spans="1:3" ht="15.75">
      <c r="A9" s="3"/>
      <c r="B9" s="4"/>
      <c r="C9" s="4"/>
    </row>
    <row r="10" spans="1:3" ht="63">
      <c r="A10" s="3" t="s">
        <v>14</v>
      </c>
      <c r="B10" s="4"/>
      <c r="C10" s="4"/>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AC083-940A-438F-9E39-D6CC7257C1C2}">
  <dimension ref="A1:K15"/>
  <sheetViews>
    <sheetView showGridLines="0" workbookViewId="0">
      <selection activeCell="K1" sqref="K1:K1048576"/>
    </sheetView>
  </sheetViews>
  <sheetFormatPr defaultRowHeight="15"/>
  <cols>
    <col min="1" max="1" width="21.28515625" customWidth="1"/>
    <col min="2" max="2" width="31.42578125" customWidth="1"/>
    <col min="3" max="3" width="22.28515625" customWidth="1"/>
    <col min="4" max="4" width="24" customWidth="1"/>
    <col min="5" max="5" width="31.5703125" customWidth="1"/>
    <col min="6" max="6" width="30.28515625" customWidth="1"/>
    <col min="7" max="7" width="45.7109375" customWidth="1"/>
    <col min="8" max="8" width="19.85546875" customWidth="1"/>
    <col min="9" max="9" width="28.42578125" customWidth="1"/>
  </cols>
  <sheetData>
    <row r="1" spans="1:11" ht="30" customHeight="1">
      <c r="A1" s="3" t="s">
        <v>15</v>
      </c>
      <c r="B1" s="4" t="s">
        <v>16</v>
      </c>
      <c r="C1" s="4" t="s">
        <v>17</v>
      </c>
      <c r="D1" s="3" t="s">
        <v>18</v>
      </c>
      <c r="E1" s="3" t="s">
        <v>19</v>
      </c>
      <c r="F1" s="4" t="s">
        <v>20</v>
      </c>
      <c r="G1" s="4" t="s">
        <v>21</v>
      </c>
      <c r="H1" s="4" t="s">
        <v>22</v>
      </c>
      <c r="I1" s="5" t="s">
        <v>23</v>
      </c>
      <c r="K1" t="str">
        <f>A1&amp;";"&amp;B1&amp;";"&amp;C1&amp;";"&amp;D1&amp;";"&amp;E1&amp;";"&amp;F1&amp;";"&amp;G1&amp;";"&amp;H1&amp;";"&amp;I1</f>
        <v>Command type;Command value (2 bytes);Command data;Return command;Return value;Return result data;Directions;Parameter details;Is it necessary to support</v>
      </c>
    </row>
    <row r="2" spans="1:11" ht="94.5">
      <c r="A2" s="3" t="s">
        <v>24</v>
      </c>
      <c r="B2" s="4" t="s">
        <v>25</v>
      </c>
      <c r="C2" s="4" t="s">
        <v>26</v>
      </c>
      <c r="D2" s="3" t="s">
        <v>27</v>
      </c>
      <c r="E2" s="4" t="s">
        <v>28</v>
      </c>
      <c r="F2" s="4" t="s">
        <v>29</v>
      </c>
      <c r="G2" s="4" t="s">
        <v>30</v>
      </c>
      <c r="H2" s="4"/>
      <c r="I2" s="5" t="s">
        <v>31</v>
      </c>
      <c r="K2" t="str">
        <f t="shared" ref="K2:K15" si="0">A2&amp;";"&amp;B2&amp;";"&amp;C2&amp;";"&amp;D2&amp;";"&amp;E2&amp;";"&amp;F2&amp;";"&amp;G2&amp;";"&amp;H2&amp;";"&amp;I2</f>
        <v>Read version;0x0000;NOT;0x0100;2 bytes
0: success
Other values are failed";2 bytes return result data length + version information;The returned version is represented as a string. For example
Major version number: 1
Minor version number: 4
patch version number: 14
The version information indicates: v1.4.14;;Yes</v>
      </c>
    </row>
    <row r="3" spans="1:11" ht="63">
      <c r="A3" s="3" t="s">
        <v>32</v>
      </c>
      <c r="B3" s="4" t="s">
        <v>33</v>
      </c>
      <c r="C3" s="4" t="s">
        <v>34</v>
      </c>
      <c r="D3" s="3" t="s">
        <v>35</v>
      </c>
      <c r="E3" s="4" t="s">
        <v>28</v>
      </c>
      <c r="F3" s="4" t="s">
        <v>26</v>
      </c>
      <c r="G3" s="4" t="s">
        <v>36</v>
      </c>
      <c r="H3" s="3"/>
      <c r="I3" s="5" t="s">
        <v>31</v>
      </c>
      <c r="K3" t="str">
        <f t="shared" si="0"/>
        <v>Write register;0x0001;2-byte chip address + (2-byte address + 2-byte data) * N;0x0101;2 bytes
0: success
Other values are failed";NOT;When the host sends data, it first sends the 2-byte chip address, and then every group of 4 bytes, each group contains register address and data, each with two bytes;;Yes</v>
      </c>
    </row>
    <row r="4" spans="1:11" ht="78.75">
      <c r="A4" s="3" t="s">
        <v>37</v>
      </c>
      <c r="B4" s="4" t="s">
        <v>38</v>
      </c>
      <c r="C4" s="4" t="s">
        <v>39</v>
      </c>
      <c r="D4" s="3" t="s">
        <v>40</v>
      </c>
      <c r="E4" s="4" t="s">
        <v>28</v>
      </c>
      <c r="F4" s="4" t="s">
        <v>41</v>
      </c>
      <c r="G4" s="4" t="s">
        <v>42</v>
      </c>
      <c r="H4" s="3"/>
      <c r="I4" s="5" t="s">
        <v>31</v>
      </c>
      <c r="K4" t="str">
        <f t="shared" si="0"/>
        <v>Read register;0x0002;2-byte chip address + (2-byte address) * N;0x0102;2 bytes
0: success
Other values are failed";(2 bytes data) * N;When the host sends data, it first sends the 2-byte chip address, and then every 2-byte group, each group contains only the register address, two bytes; when the device returns data, every 2-byte group, each group only Contains data, 2 bytes;;;Yes</v>
      </c>
    </row>
    <row r="5" spans="1:11" ht="409.5">
      <c r="A5" s="3" t="s">
        <v>43</v>
      </c>
      <c r="B5" s="4" t="s">
        <v>44</v>
      </c>
      <c r="C5" s="4" t="s">
        <v>45</v>
      </c>
      <c r="D5" s="3" t="s">
        <v>46</v>
      </c>
      <c r="E5" s="4" t="s">
        <v>28</v>
      </c>
      <c r="F5" s="4" t="s">
        <v>47</v>
      </c>
      <c r="G5" s="4" t="s">
        <v>48</v>
      </c>
      <c r="H5" s="6" t="s">
        <v>49</v>
      </c>
      <c r="I5" s="5" t="s">
        <v>50</v>
      </c>
      <c r="K5" t="str">
        <f t="shared" si="0"/>
        <v>Configure ABD parameters;0x0007;(2-byte parameter name + 4-byte parameter value) * N;0x0107;2 bytes
0: success
Other values are failed";None;When the host sends data, every group of 6 bytes contains parameter name and parameter value;Global parameters:
0x0000--roiMin; minimum detection distance gate
0x0001--roiMax; the farthest detection distance gate
0x0002--delayTime; delay time
High Threshold Parameters:
0x0010--activeFrameNum; The minimum number of frames detected
0x0011--inactiveFrameNum; The minimum number of frames for the target to disappear
0x0012---threshold; detection threshold, the square of the 2dfft modulus (the first two bytes of threshold represent the distance gate, and the last two bytes represent the threshold, such as 05 00 34 12: the fifth distance gate threshold 0x1234)
Low Threshold Parameters:
0x0020--activeFrameNum; The minimum number of frames detected
0x0021--inactiveFrameNum; The minimum number of frames for the target to disappear
0x0022---threshold; detection threshold, the square of the 2dfft modulus (the first two bytes of threshold represent the distance gate, and the last two bytes represent the threshold, such as 05 00 34 12: the fifth distance gate threshold 0x1234);NO</v>
      </c>
    </row>
    <row r="6" spans="1:11" ht="409.5">
      <c r="A6" s="3" t="s">
        <v>51</v>
      </c>
      <c r="B6" s="4" t="s">
        <v>52</v>
      </c>
      <c r="C6" s="4" t="s">
        <v>53</v>
      </c>
      <c r="D6" s="3" t="s">
        <v>54</v>
      </c>
      <c r="E6" s="4" t="s">
        <v>28</v>
      </c>
      <c r="F6" s="4" t="s">
        <v>55</v>
      </c>
      <c r="G6" s="4" t="s">
        <v>56</v>
      </c>
      <c r="H6" s="6" t="s">
        <v>57</v>
      </c>
      <c r="I6" s="7" t="s">
        <v>58</v>
      </c>
      <c r="K6" t="str">
        <f t="shared" si="0"/>
        <v>Read ABD parameters;0x0008;(2-byte parameter name) * N;0x0108;2 bytes
0: success
Other values are failed";(4 byte parameter value) * N;When the host sends data, every group of 2 bytes contains only parameter values; when the device returns data, every group of 4 bytes contains only parameter values;High Threshold Parameters:
0x0000--roiMin; minimum detection distance gate
0x0001--roiMax; the farthest detection distance gate
0x0002--activeFrameNum; The minimum number of frames detected
0x0003--inactiveFrameNum; The minimum number of frames for the target to disappear
Low Threshold Parameters:
0x0010--roiMin; minimum detection distance gate
0x0011--roiMax; the farthest detection distance gate
0x0012--activeFrameNum; detect the target minimum frame number
0x0013--inactiveFrameNum; The minimum number of frames for the target to disappear
High Threshold Threshold:
0x0020~0x002f respectively correspond to the high threshold of range gate 0~15
Low Threshold Threshold:
0x0030~0x003f respectively correspond to the high threshold of range gate 0~15
;No</v>
      </c>
    </row>
    <row r="7" spans="1:11" ht="47.25">
      <c r="A7" s="3" t="s">
        <v>59</v>
      </c>
      <c r="B7" s="4" t="s">
        <v>60</v>
      </c>
      <c r="C7" s="4" t="s">
        <v>61</v>
      </c>
      <c r="D7" s="3" t="s">
        <v>62</v>
      </c>
      <c r="E7" s="4" t="s">
        <v>28</v>
      </c>
      <c r="F7" s="4" t="s">
        <v>63</v>
      </c>
      <c r="G7" s="4"/>
      <c r="H7" s="3"/>
      <c r="I7" s="5" t="s">
        <v>58</v>
      </c>
      <c r="K7" t="str">
        <f t="shared" si="0"/>
        <v>Read serial number;0x0011;NoT;0x0111;2 bytes
0: success
Other values are failed";2-byte module identification + 4-byte serial number;;;No</v>
      </c>
    </row>
    <row r="8" spans="1:11" ht="236.25">
      <c r="A8" s="3" t="s">
        <v>64</v>
      </c>
      <c r="B8" s="4" t="s">
        <v>65</v>
      </c>
      <c r="C8" s="4" t="s">
        <v>45</v>
      </c>
      <c r="D8" s="3" t="s">
        <v>66</v>
      </c>
      <c r="E8" s="4" t="s">
        <v>28</v>
      </c>
      <c r="F8" s="4" t="s">
        <v>47</v>
      </c>
      <c r="G8" s="4" t="s">
        <v>48</v>
      </c>
      <c r="H8" s="4" t="s">
        <v>67</v>
      </c>
      <c r="I8" s="5" t="s">
        <v>58</v>
      </c>
      <c r="K8" t="str">
        <f t="shared" si="0"/>
        <v>Configure system parameters;0x0012;(2-byte parameter name + 4-byte parameter value) * N;0x0112;2 bytes
0: success
Other values are failed";None;When the host sends data, every group of 6 bytes contains parameter name and parameter value;0x0000--systemMode;
     0-transparent,
     1-MTT,
     2-VS,
     3-GR
     ... (custom format is recommended to start from 10 or above)
0x0001--uploadSampleRate; downsampling ratio
0x0002--debugMode;No</v>
      </c>
    </row>
    <row r="9" spans="1:11" ht="63">
      <c r="A9" s="3" t="s">
        <v>68</v>
      </c>
      <c r="B9" s="4" t="s">
        <v>69</v>
      </c>
      <c r="C9" s="4" t="s">
        <v>53</v>
      </c>
      <c r="D9" s="3" t="s">
        <v>70</v>
      </c>
      <c r="E9" s="4" t="s">
        <v>28</v>
      </c>
      <c r="F9" s="4" t="s">
        <v>55</v>
      </c>
      <c r="G9" s="4" t="s">
        <v>56</v>
      </c>
      <c r="H9" s="3"/>
      <c r="I9" s="5" t="s">
        <v>58</v>
      </c>
      <c r="K9" t="str">
        <f t="shared" si="0"/>
        <v>Read system parameters;0x0013;(2-byte parameter name) * N;0x0113;2 bytes
0: success
Other values are failed";(4 byte parameter value) * N;When the host sends data, every group of 2 bytes contains only parameter values; when the device returns data, every group of 4 bytes contains only parameter values;;No</v>
      </c>
    </row>
    <row r="10" spans="1:11" ht="220.5">
      <c r="A10" s="3" t="s">
        <v>71</v>
      </c>
      <c r="B10" s="4" t="s">
        <v>72</v>
      </c>
      <c r="C10" s="4" t="s">
        <v>47</v>
      </c>
      <c r="D10" s="3" t="s">
        <v>73</v>
      </c>
      <c r="E10" s="4" t="s">
        <v>28</v>
      </c>
      <c r="F10" s="4" t="s">
        <v>74</v>
      </c>
      <c r="G10" s="4"/>
      <c r="H10" s="4" t="s">
        <v>75</v>
      </c>
      <c r="I10" s="5" t="s">
        <v>50</v>
      </c>
      <c r="K10" t="str">
        <f t="shared" si="0"/>
        <v>Enter factory test mode;0x0024;None;0x0124;2 bytes
0: success
Other values are failed";2-byte sub-board model
2-byte cascaded chip quantity
2 byte number of channels
2 byte data type
2 bytes 1DFFT size
2 bytes per frame chirp number
2-byte downsampling interval;;Sub board model: reserved, fill in 0
Number of chips: 1-single chip, 2-double chip,,,
Number of channels: number of receiving channels
Data type: 0-1DFFT, 1-2DFFT, 2-2DFFT PEAK, 3-DSRAW
Downsampling rate: 1 means no downsampling;NO</v>
      </c>
    </row>
    <row r="11" spans="1:11" ht="47.25">
      <c r="A11" s="3" t="s">
        <v>76</v>
      </c>
      <c r="B11" s="4" t="s">
        <v>77</v>
      </c>
      <c r="C11" s="4" t="s">
        <v>47</v>
      </c>
      <c r="D11" s="3" t="s">
        <v>78</v>
      </c>
      <c r="E11" s="4" t="s">
        <v>28</v>
      </c>
      <c r="F11" s="4" t="s">
        <v>47</v>
      </c>
      <c r="G11" s="4"/>
      <c r="H11" s="4"/>
      <c r="I11" s="5" t="s">
        <v>50</v>
      </c>
      <c r="K11" t="str">
        <f t="shared" si="0"/>
        <v>Exit factory test mode;0x0025;None;0x0125;2 bytes
0: success
Other values are failed";None;;;NO</v>
      </c>
    </row>
    <row r="12" spans="1:11" ht="47.25">
      <c r="A12" s="3" t="s">
        <v>79</v>
      </c>
      <c r="B12" s="4" t="s">
        <v>80</v>
      </c>
      <c r="C12" s="4" t="s">
        <v>81</v>
      </c>
      <c r="D12" s="3" t="s">
        <v>82</v>
      </c>
      <c r="E12" s="4" t="s">
        <v>28</v>
      </c>
      <c r="F12" s="4" t="s">
        <v>47</v>
      </c>
      <c r="G12" s="4"/>
      <c r="H12" s="4" t="s">
        <v>83</v>
      </c>
      <c r="I12" s="5" t="s">
        <v>50</v>
      </c>
      <c r="K12" t="str">
        <f t="shared" si="0"/>
        <v>Send factory test results;0x0026;(2 byte address + 2 byte data) * N;0x0126;2 bytes
0: success
Other values are failed";None;;At present, it mainly updates the TX register;NO</v>
      </c>
    </row>
    <row r="13" spans="1:11" ht="31.5">
      <c r="A13" s="3" t="s">
        <v>84</v>
      </c>
      <c r="B13" s="4" t="s">
        <v>85</v>
      </c>
      <c r="C13" s="4" t="s">
        <v>86</v>
      </c>
      <c r="D13" s="3" t="s">
        <v>87</v>
      </c>
      <c r="E13" s="4" t="s">
        <v>86</v>
      </c>
      <c r="F13" s="3"/>
      <c r="G13" s="4"/>
      <c r="H13" s="3"/>
      <c r="I13" s="2"/>
      <c r="K13" t="str">
        <f t="shared" si="0"/>
        <v>Custom Command Range;0x0060~0x00A0;Customization;0x1060~0x10A0;Customization;;;;</v>
      </c>
    </row>
    <row r="14" spans="1:11" ht="47.25">
      <c r="A14" s="3" t="s">
        <v>88</v>
      </c>
      <c r="B14" s="4" t="s">
        <v>89</v>
      </c>
      <c r="C14" s="4" t="s">
        <v>90</v>
      </c>
      <c r="D14" s="3" t="s">
        <v>91</v>
      </c>
      <c r="E14" s="4" t="s">
        <v>28</v>
      </c>
      <c r="F14" s="4" t="s">
        <v>92</v>
      </c>
      <c r="G14" s="4"/>
      <c r="H14" s="4" t="s">
        <v>93</v>
      </c>
      <c r="I14" s="5" t="s">
        <v>31</v>
      </c>
      <c r="K14" t="str">
        <f t="shared" si="0"/>
        <v>Open command mode;0x00FF;2 bytes upper computer version;0x01FF;2 bytes
0: success
Other values are failed";2-byte protocol version number + 2-byte sending and receiving buffer size;;The current protocol version number is 2;Yes</v>
      </c>
    </row>
    <row r="15" spans="1:11" ht="47.25">
      <c r="A15" s="3" t="s">
        <v>94</v>
      </c>
      <c r="B15" s="4" t="s">
        <v>95</v>
      </c>
      <c r="C15" s="4" t="s">
        <v>47</v>
      </c>
      <c r="D15" s="3" t="s">
        <v>96</v>
      </c>
      <c r="E15" s="4" t="s">
        <v>28</v>
      </c>
      <c r="F15" s="4" t="s">
        <v>47</v>
      </c>
      <c r="G15" s="4"/>
      <c r="H15" s="3"/>
      <c r="I15" s="5" t="s">
        <v>31</v>
      </c>
      <c r="K15" t="str">
        <f t="shared" si="0"/>
        <v>Disable command mode;0x00FE;None;0x01FE;2 bytes
0: success
Other values are failed";None;;;Yes</v>
      </c>
    </row>
  </sheetData>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7CC1B-2DDE-4303-A505-795AAA4C68C4}">
  <dimension ref="A1:G11"/>
  <sheetViews>
    <sheetView workbookViewId="0">
      <selection activeCell="E2" sqref="E2"/>
    </sheetView>
  </sheetViews>
  <sheetFormatPr defaultRowHeight="15"/>
  <cols>
    <col min="1" max="1" width="10.5703125" customWidth="1"/>
    <col min="2" max="2" width="37.5703125" bestFit="1" customWidth="1"/>
    <col min="3" max="3" width="11" customWidth="1"/>
    <col min="4" max="4" width="64.28515625" customWidth="1"/>
    <col min="5" max="5" width="83.5703125" customWidth="1"/>
  </cols>
  <sheetData>
    <row r="1" spans="1:7" ht="31.5">
      <c r="A1" s="3" t="s">
        <v>97</v>
      </c>
      <c r="B1" s="5" t="s">
        <v>98</v>
      </c>
      <c r="C1" s="5" t="s">
        <v>131</v>
      </c>
      <c r="D1" s="4" t="s">
        <v>99</v>
      </c>
      <c r="E1" s="3" t="s">
        <v>100</v>
      </c>
      <c r="G1" t="str">
        <f>A1&amp;";"&amp;B1&amp;";"&amp;C1&amp;";"&amp;D1&amp;";"&amp;E1</f>
        <v>Example;Send Content;Column1;Receive content;Description</v>
      </c>
    </row>
    <row r="2" spans="1:7" ht="362.25">
      <c r="A2" s="3" t="s">
        <v>101</v>
      </c>
      <c r="B2" s="5" t="s">
        <v>102</v>
      </c>
      <c r="C2" s="5"/>
      <c r="D2" s="5" t="s">
        <v>103</v>
      </c>
      <c r="E2" s="4" t="s">
        <v>104</v>
      </c>
      <c r="G2" t="str">
        <f t="shared" ref="G2:G11" si="0">A2&amp;";"&amp;B2&amp;";"&amp;C2&amp;";"&amp;D2&amp;";"&amp;E2</f>
        <v>Reading version;12 bytes:
fd fc fb fa 02 00 00 00 04 03 02 01;;23 bytes:
FD FC FB FA 0D 00 00 01 00 00 07 00 76 31 2E 34 2E 31 34 04 03 02 01;The return result is: 0-success
String length: 7
Major version number: 1
Minor version number: 4
patch version number: 14
Version information: v1.4.14</v>
      </c>
    </row>
    <row r="3" spans="1:7" ht="110.25">
      <c r="A3" s="3" t="s">
        <v>105</v>
      </c>
      <c r="B3" s="5" t="s">
        <v>106</v>
      </c>
      <c r="C3" s="5"/>
      <c r="D3" s="5" t="s">
        <v>107</v>
      </c>
      <c r="E3" s="4" t="s">
        <v>108</v>
      </c>
      <c r="G3" t="str">
        <f t="shared" si="0"/>
        <v>Write a single register;18 bytes:
fd fc fb fa 08 00 01 00
20 00 41 00 04 c8 04 03 
02 01;;14  bytes:
fd fc fb fa 04 00 01 01
00 00 04 03 02 01;The returned result is:
0-success</v>
      </c>
    </row>
    <row r="4" spans="1:7" ht="409.5">
      <c r="A4" s="3" t="s">
        <v>109</v>
      </c>
      <c r="B4" s="5" t="s">
        <v>110</v>
      </c>
      <c r="C4" s="5"/>
      <c r="D4" s="5" t="s">
        <v>111</v>
      </c>
      <c r="E4" s="4" t="s">
        <v>112</v>
      </c>
      <c r="G4" t="str">
        <f t="shared" si="0"/>
        <v>Write multiple registers;"22 bytes (2 registers):
fd fc fb fa 0c 00 01 00
20 00 41 00 04 c8 42 00
03 00 04 03 02 01";;14 bytes:
fd fc fb fa 04 00 01 01
00 00 04 03 02 01;The returned result is:
0 - success
Note: If the number of registers written at one time is large, resulting in the total frame length exceeding 64 bytes, multiple write register commands need to be sent</v>
      </c>
    </row>
    <row r="5" spans="1:7" ht="126">
      <c r="A5" s="3" t="s">
        <v>113</v>
      </c>
      <c r="B5" s="5" t="s">
        <v>114</v>
      </c>
      <c r="C5" s="5"/>
      <c r="D5" s="5" t="s">
        <v>115</v>
      </c>
      <c r="E5" s="4" t="s">
        <v>116</v>
      </c>
      <c r="G5" t="str">
        <f t="shared" si="0"/>
        <v>Read a single register;16 bytes:
fd fc fb fa 04 00 02 00
20 00 41 00 04 03 02 01;;16 bytes:
fd fc fb fa 06 00 02 01
00 00 04 c8 04 03 02 01;The return result is: 0-success
Register 0x0041: 0xC804</v>
      </c>
    </row>
    <row r="6" spans="1:7" ht="409.5">
      <c r="A6" s="3" t="s">
        <v>117</v>
      </c>
      <c r="B6" s="5" t="s">
        <v>118</v>
      </c>
      <c r="C6" s="5"/>
      <c r="D6" s="5" t="s">
        <v>119</v>
      </c>
      <c r="E6" s="4" t="s">
        <v>120</v>
      </c>
      <c r="G6" t="str">
        <f t="shared" si="0"/>
        <v>Read multiple registers;18 bytes:
fd fc fb fa 06 00 02 00
20 00 41 00 42 00 04 03 
02 01;;18 bytes:
fd fc fb fa 08 00 02 01
00 00 04 c8 03 00 04 03
02 01;The return result is: 0-success
Register 0x0041: 0xC804
Register 0x0042: 0x0003
Note: If the number of registers to be read at one time is large, resulting in the total length of the frame exceeding 64 bytes, multiple read register commands need to be sent</v>
      </c>
    </row>
    <row r="7" spans="1:7" ht="220.5">
      <c r="A7" s="3" t="s">
        <v>88</v>
      </c>
      <c r="B7" s="5" t="s">
        <v>121</v>
      </c>
      <c r="C7" s="5"/>
      <c r="D7" s="5" t="s">
        <v>122</v>
      </c>
      <c r="E7" s="4" t="s">
        <v>123</v>
      </c>
      <c r="G7" t="str">
        <f t="shared" si="0"/>
        <v>Open command mode;12 bytes:
fd fc fb fa 04 00 ff 00 01 00 04 03 02 01;;14 bytes:
fd fc fb fa 08 00 ff 01
00 00 02 00 00 04 04 03 
02 01;The returned result is:
0 - success
Protocol version number: 2
Transceiver buffer size: 1024</v>
      </c>
    </row>
    <row r="8" spans="1:7" ht="94.5">
      <c r="A8" s="3" t="s">
        <v>94</v>
      </c>
      <c r="B8" s="5" t="s">
        <v>124</v>
      </c>
      <c r="C8" s="5"/>
      <c r="D8" s="5" t="s">
        <v>125</v>
      </c>
      <c r="E8" s="4" t="s">
        <v>108</v>
      </c>
      <c r="G8" t="str">
        <f t="shared" si="0"/>
        <v>Disable command mode;12 bytes:
fd fc fb fa 02 00 fe 00 04 03 02 01;;14 bytes:
fd fc fb fa 04 00 fe 01
00 00 04 03 02 01;The returned result is:
0-success</v>
      </c>
    </row>
    <row r="9" spans="1:7" ht="15.75">
      <c r="A9" s="3"/>
      <c r="B9" s="5"/>
      <c r="C9" s="5"/>
      <c r="D9" s="11"/>
      <c r="E9" s="3"/>
      <c r="G9" t="str">
        <f t="shared" si="0"/>
        <v>;;;;</v>
      </c>
    </row>
    <row r="10" spans="1:7" ht="409.5">
      <c r="A10" s="3" t="s">
        <v>71</v>
      </c>
      <c r="B10" s="10" t="s">
        <v>126</v>
      </c>
      <c r="C10" s="10"/>
      <c r="D10" s="10" t="s">
        <v>127</v>
      </c>
      <c r="E10" s="4" t="s">
        <v>128</v>
      </c>
      <c r="G10" t="str">
        <f t="shared" si="0"/>
        <v>Enter factory test mode;12 bytes:
fd fc fb fa 02 00 24 00 04 03 02 01;;28 bytes:
fd fc fb fa 12 00 24 01 00 00 00 00 02 00 04 00
00 00 40 00 20 00 02 00 04 03 02 01;The return result is: 0-success
Daughter board model: 0
Number of cascaded chips: 2
Number of channels: 4
Data Type: 0
1DFFT size: 64
Number of chirps per frame: 32
Downsampling Interval: 2</v>
      </c>
    </row>
    <row r="11" spans="1:7" ht="409.5">
      <c r="A11" s="3" t="s">
        <v>79</v>
      </c>
      <c r="B11" s="10" t="s">
        <v>129</v>
      </c>
      <c r="C11" s="10"/>
      <c r="D11" s="10" t="s">
        <v>130</v>
      </c>
      <c r="E11" s="4" t="s">
        <v>128</v>
      </c>
      <c r="G11" t="str">
        <f t="shared" si="0"/>
        <v>Send factory test results;12 bytes:
fd fc fb fa 02 00 26 00 04 03 02 01;;28 bytes:
fd fc fb fa 12 00 26 01 00 00 00 00 02 00 04 00
00 00 40 00 20 00 02 00 04 03 02 01;The return result is: 0-success
Daughter board model: 0
Number of cascaded chips: 2
Number of channels: 4
Data Type: 0
1DFFT size: 64
Number of chirps per frame: 32
Downsampling Interval: 2</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串口命令格式V2.2</vt:lpstr>
      <vt:lpstr>Top</vt:lpstr>
      <vt:lpstr>Sheet2</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Gabriel Sieben</cp:lastModifiedBy>
  <dcterms:created xsi:type="dcterms:W3CDTF">2019-10-29T06:10:00Z</dcterms:created>
  <dcterms:modified xsi:type="dcterms:W3CDTF">2026-03-10T09:44:42Z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2052-11.1.0.9021</vt:lpwstr>
  </property>
  <property fmtid="{D5CDD505-2E9C-101B-9397-08002B2CF9AE}" pid="3" name="ICV">
    <vt:lpwstr>DF10F2D4A02049C0957BE29457F05693</vt:lpwstr>
  </property>
</Properties>
</file>